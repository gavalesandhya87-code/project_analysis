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543e05404d56065/Desktop/"/>
    </mc:Choice>
  </mc:AlternateContent>
  <xr:revisionPtr revIDLastSave="3" documentId="8_{B63396E2-60D9-448D-A05C-955FAB48FF82}" xr6:coauthVersionLast="47" xr6:coauthVersionMax="47" xr10:uidLastSave="{137AFE3B-EF99-446A-AD1A-F8F7AA315535}"/>
  <bookViews>
    <workbookView xWindow="-108" yWindow="-108" windowWidth="23256" windowHeight="12456" activeTab="3" xr2:uid="{00000000-000D-0000-FFFF-FFFF00000000}"/>
  </bookViews>
  <sheets>
    <sheet name="Basic Pay" sheetId="1" r:id="rId1"/>
    <sheet name="HRA" sheetId="2" r:id="rId2"/>
    <sheet name="DA" sheetId="3" r:id="rId3"/>
    <sheet name="Gross Sal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" l="1"/>
  <c r="C2" i="4"/>
  <c r="F11" i="4"/>
  <c r="D3" i="4"/>
  <c r="D4" i="4"/>
  <c r="D5" i="4"/>
  <c r="D6" i="4"/>
  <c r="E6" i="4" s="1"/>
  <c r="F6" i="4" s="1"/>
  <c r="D7" i="4"/>
  <c r="D8" i="4"/>
  <c r="D9" i="4"/>
  <c r="D10" i="4"/>
  <c r="D11" i="4"/>
  <c r="E3" i="4"/>
  <c r="F3" i="4" s="1"/>
  <c r="E4" i="4"/>
  <c r="F4" i="4" s="1"/>
  <c r="E5" i="4"/>
  <c r="F5" i="4" s="1"/>
  <c r="E11" i="4"/>
  <c r="C3" i="4"/>
  <c r="C4" i="4"/>
  <c r="C5" i="4"/>
  <c r="C6" i="4"/>
  <c r="C7" i="4"/>
  <c r="C8" i="4"/>
  <c r="C9" i="4"/>
  <c r="C10" i="4"/>
  <c r="C11" i="4"/>
  <c r="B3" i="4"/>
  <c r="B4" i="4"/>
  <c r="B5" i="4"/>
  <c r="B6" i="4"/>
  <c r="B7" i="4"/>
  <c r="B8" i="4"/>
  <c r="B9" i="4"/>
  <c r="B10" i="4"/>
  <c r="B11" i="4"/>
  <c r="B2" i="4"/>
  <c r="A11" i="4"/>
  <c r="A3" i="4"/>
  <c r="A4" i="4"/>
  <c r="A5" i="4"/>
  <c r="A6" i="4"/>
  <c r="A7" i="4"/>
  <c r="A8" i="4"/>
  <c r="A9" i="4"/>
  <c r="A10" i="4"/>
  <c r="D2" i="4" l="1"/>
  <c r="E2" i="4" s="1"/>
  <c r="F8" i="4"/>
  <c r="F7" i="4"/>
  <c r="E10" i="4"/>
  <c r="F10" i="4" s="1"/>
  <c r="E9" i="4"/>
  <c r="F9" i="4" s="1"/>
  <c r="E8" i="4"/>
  <c r="E7" i="4"/>
  <c r="F2" i="4" l="1"/>
</calcChain>
</file>

<file path=xl/sharedStrings.xml><?xml version="1.0" encoding="utf-8"?>
<sst xmlns="http://schemas.openxmlformats.org/spreadsheetml/2006/main" count="48" uniqueCount="22">
  <si>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</si>
  <si>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</si>
  <si>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</si>
  <si>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</si>
  <si>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</si>
  <si>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</si>
  <si>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</si>
  <si>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</si>
  <si>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</si>
  <si>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</si>
  <si>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</si>
  <si>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</si>
  <si>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</si>
  <si>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</si>
  <si>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</si>
  <si>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</si>
  <si>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</si>
  <si>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</si>
  <si>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Emp_Id</t>
  </si>
  <si>
    <t>DA</t>
  </si>
  <si>
    <t>HRA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</si>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</sst>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3"/>
  <sheetViews>
    <sheetView workbookViewId="0">
      <selection activeCell="D13" sqref="D13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2" spans="2:4" x14ac:dyDescent="0.25">
      <c r="B2" s="5" t="s">
        <v>0</v>
      </c>
      <c r="C2" s="5"/>
      <c r="D2" s="5"/>
    </row>
    <row r="3" spans="2:4" x14ac:dyDescent="0.25">
      <c r="B3" s="2" t="s">
        <v>2</v>
      </c>
      <c r="C3" s="2" t="s">
        <v>1</v>
      </c>
      <c r="D3" s="2" t="s">
        <v>15</v>
      </c>
    </row>
    <row r="4" spans="2:4" x14ac:dyDescent="0.25">
      <c r="B4" s="2">
        <v>5001</v>
      </c>
      <c r="C4" s="2" t="s">
        <v>3</v>
      </c>
      <c r="D4" s="2">
        <v>4500</v>
      </c>
    </row>
    <row r="5" spans="2:4" x14ac:dyDescent="0.25">
      <c r="B5" s="2">
        <v>5003</v>
      </c>
      <c r="C5" s="2" t="s">
        <v>4</v>
      </c>
      <c r="D5" s="2">
        <v>2500</v>
      </c>
    </row>
    <row r="6" spans="2:4" x14ac:dyDescent="0.25">
      <c r="B6" s="2">
        <v>5098</v>
      </c>
      <c r="C6" s="2" t="s">
        <v>5</v>
      </c>
      <c r="D6" s="2">
        <v>4500</v>
      </c>
    </row>
    <row r="7" spans="2:4" x14ac:dyDescent="0.25">
      <c r="B7" s="2">
        <v>5689</v>
      </c>
      <c r="C7" s="2" t="s">
        <v>6</v>
      </c>
      <c r="D7" s="2">
        <v>3200</v>
      </c>
    </row>
    <row r="8" spans="2:4" x14ac:dyDescent="0.25">
      <c r="B8" s="2">
        <v>5764</v>
      </c>
      <c r="C8" s="2" t="s">
        <v>7</v>
      </c>
      <c r="D8" s="2">
        <v>1223</v>
      </c>
    </row>
    <row r="9" spans="2:4" x14ac:dyDescent="0.25">
      <c r="B9" s="2">
        <v>5091</v>
      </c>
      <c r="C9" s="2" t="s">
        <v>8</v>
      </c>
      <c r="D9" s="2">
        <v>7890</v>
      </c>
    </row>
    <row r="10" spans="2:4" x14ac:dyDescent="0.25">
      <c r="B10" s="2">
        <v>5673</v>
      </c>
      <c r="C10" s="2" t="s">
        <v>9</v>
      </c>
      <c r="D10" s="2">
        <v>6500</v>
      </c>
    </row>
    <row r="11" spans="2:4" x14ac:dyDescent="0.25">
      <c r="B11" s="2">
        <v>5901</v>
      </c>
      <c r="C11" s="2" t="s">
        <v>10</v>
      </c>
      <c r="D11" s="2">
        <v>5479</v>
      </c>
    </row>
    <row r="12" spans="2:4" x14ac:dyDescent="0.25">
      <c r="B12" s="2">
        <v>5764</v>
      </c>
      <c r="C12" s="2" t="s">
        <v>11</v>
      </c>
      <c r="D12" s="2">
        <v>3456</v>
      </c>
    </row>
    <row r="13" spans="2:4" x14ac:dyDescent="0.25">
      <c r="B13" s="2">
        <v>5555</v>
      </c>
      <c r="C13" s="2" t="s">
        <v>12</v>
      </c>
      <c r="D13" s="2">
        <v>1200</v>
      </c>
    </row>
  </sheetData>
  <mergeCells count="1">
    <mergeCell ref="B2:D2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4"/>
  <sheetViews>
    <sheetView topLeftCell="B1" workbookViewId="0">
      <selection activeCell="B3" sqref="B3:D3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2" spans="2:4" ht="12.6" customHeight="1" x14ac:dyDescent="0.25"/>
    <row r="3" spans="2:4" x14ac:dyDescent="0.25">
      <c r="B3" s="6" t="s">
        <v>13</v>
      </c>
      <c r="C3" s="6"/>
      <c r="D3" s="6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1"/>
    </row>
    <row r="6" spans="2:4" x14ac:dyDescent="0.25">
      <c r="B6" s="1">
        <v>5003</v>
      </c>
      <c r="C6" s="1" t="s">
        <v>4</v>
      </c>
      <c r="D6" s="1"/>
    </row>
    <row r="7" spans="2:4" x14ac:dyDescent="0.25">
      <c r="B7" s="1">
        <v>5098</v>
      </c>
      <c r="C7" s="1" t="s">
        <v>5</v>
      </c>
      <c r="D7" s="1"/>
    </row>
    <row r="8" spans="2:4" x14ac:dyDescent="0.25">
      <c r="B8" s="1">
        <v>5689</v>
      </c>
      <c r="C8" s="1" t="s">
        <v>6</v>
      </c>
      <c r="D8" s="1"/>
    </row>
    <row r="9" spans="2:4" x14ac:dyDescent="0.25">
      <c r="B9" s="1">
        <v>5764</v>
      </c>
      <c r="C9" s="1" t="s">
        <v>7</v>
      </c>
      <c r="D9" s="1"/>
    </row>
    <row r="10" spans="2:4" x14ac:dyDescent="0.25">
      <c r="B10" s="1">
        <v>5091</v>
      </c>
      <c r="C10" s="1" t="s">
        <v>8</v>
      </c>
      <c r="D10" s="1"/>
    </row>
    <row r="11" spans="2:4" x14ac:dyDescent="0.25">
      <c r="B11" s="1">
        <v>5673</v>
      </c>
      <c r="C11" s="1" t="s">
        <v>9</v>
      </c>
      <c r="D11" s="1"/>
    </row>
    <row r="12" spans="2:4" x14ac:dyDescent="0.25">
      <c r="B12" s="1">
        <v>5901</v>
      </c>
      <c r="C12" s="1" t="s">
        <v>10</v>
      </c>
      <c r="D12" s="1"/>
    </row>
    <row r="13" spans="2:4" x14ac:dyDescent="0.25">
      <c r="B13" s="1">
        <v>5764</v>
      </c>
      <c r="C13" s="1" t="s">
        <v>11</v>
      </c>
      <c r="D13" s="1"/>
    </row>
    <row r="14" spans="2:4" x14ac:dyDescent="0.25">
      <c r="B14" s="1">
        <v>5555</v>
      </c>
      <c r="C14" s="1" t="s">
        <v>12</v>
      </c>
      <c r="D14" s="1"/>
    </row>
  </sheetData>
  <mergeCells count="1"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D5" sqref="D5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7" t="s">
        <v>16</v>
      </c>
      <c r="C3" s="7"/>
      <c r="D3" s="7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1"/>
    </row>
    <row r="6" spans="2:4" x14ac:dyDescent="0.25">
      <c r="B6" s="1">
        <v>5003</v>
      </c>
      <c r="C6" s="1" t="s">
        <v>4</v>
      </c>
      <c r="D6" s="1"/>
    </row>
    <row r="7" spans="2:4" x14ac:dyDescent="0.25">
      <c r="B7" s="1">
        <v>5098</v>
      </c>
      <c r="C7" s="1" t="s">
        <v>5</v>
      </c>
      <c r="D7" s="1"/>
    </row>
    <row r="8" spans="2:4" x14ac:dyDescent="0.25">
      <c r="B8" s="1">
        <v>5689</v>
      </c>
      <c r="C8" s="1" t="s">
        <v>6</v>
      </c>
      <c r="D8" s="1"/>
    </row>
    <row r="9" spans="2:4" x14ac:dyDescent="0.25">
      <c r="B9" s="1">
        <v>5764</v>
      </c>
      <c r="C9" s="1" t="s">
        <v>7</v>
      </c>
      <c r="D9" s="1"/>
    </row>
    <row r="10" spans="2:4" x14ac:dyDescent="0.25">
      <c r="B10" s="1">
        <v>5091</v>
      </c>
      <c r="C10" s="1" t="s">
        <v>8</v>
      </c>
      <c r="D10" s="1"/>
    </row>
    <row r="11" spans="2:4" x14ac:dyDescent="0.25">
      <c r="B11" s="1">
        <v>5673</v>
      </c>
      <c r="C11" s="1" t="s">
        <v>9</v>
      </c>
      <c r="D11" s="1"/>
    </row>
    <row r="12" spans="2:4" x14ac:dyDescent="0.25">
      <c r="B12" s="1">
        <v>5901</v>
      </c>
      <c r="C12" s="1" t="s">
        <v>10</v>
      </c>
      <c r="D12" s="1"/>
    </row>
    <row r="13" spans="2:4" x14ac:dyDescent="0.25">
      <c r="B13" s="1">
        <v>5764</v>
      </c>
      <c r="C13" s="1" t="s">
        <v>11</v>
      </c>
      <c r="D13" s="1"/>
    </row>
    <row r="14" spans="2:4" x14ac:dyDescent="0.25">
      <c r="B14" s="1">
        <v>5555</v>
      </c>
      <c r="C14" s="1" t="s">
        <v>12</v>
      </c>
      <c r="D14" s="1"/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56A4-9F30-458D-9D17-AE1B7E68B57D}">
  <dimension ref="A1:F12"/>
  <sheetViews>
    <sheetView tabSelected="1" zoomScale="130" workbookViewId="0">
      <selection activeCell="D2" sqref="D2"/>
    </sheetView>
  </sheetViews>
  <sheetFormatPr defaultRowHeight="13.2" x14ac:dyDescent="0.25"/>
  <cols>
    <col min="2" max="2" width="10.33203125" bestFit="1" customWidth="1"/>
    <col min="3" max="3" width="14.5546875" bestFit="1" customWidth="1"/>
    <col min="4" max="4" width="15" bestFit="1" customWidth="1"/>
    <col min="6" max="6" width="11.5546875" bestFit="1" customWidth="1"/>
  </cols>
  <sheetData>
    <row r="1" spans="1:6" x14ac:dyDescent="0.25">
      <c r="A1" s="4" t="s">
        <v>18</v>
      </c>
      <c r="B1" s="4" t="s">
        <v>1</v>
      </c>
      <c r="C1" s="4" t="s">
        <v>15</v>
      </c>
      <c r="D1" s="4" t="s">
        <v>19</v>
      </c>
      <c r="E1" s="4" t="s">
        <v>20</v>
      </c>
      <c r="F1" s="4" t="s">
        <v>21</v>
      </c>
    </row>
    <row r="2" spans="1:6" x14ac:dyDescent="0.25">
      <c r="A2" s="1">
        <f>'Basic Pay'!B4</f>
        <v>5001</v>
      </c>
      <c r="B2" s="1" t="str">
        <f>'Basic Pay'!C4</f>
        <v>Sandy</v>
      </c>
      <c r="C2" s="1">
        <f>'Basic Pay'!D4</f>
        <v>4500</v>
      </c>
      <c r="D2" s="1">
        <f>C2*12%</f>
        <v>540</v>
      </c>
      <c r="E2" s="1">
        <f>(C2+D2)*50%</f>
        <v>2520</v>
      </c>
      <c r="F2" s="1">
        <f>C2+D2+E2</f>
        <v>7560</v>
      </c>
    </row>
    <row r="3" spans="1:6" x14ac:dyDescent="0.25">
      <c r="A3" s="1">
        <f>'Basic Pay'!B5</f>
        <v>5003</v>
      </c>
      <c r="B3" s="1" t="str">
        <f>'Basic Pay'!C5</f>
        <v>Sam</v>
      </c>
      <c r="C3" s="1">
        <f>'Basic Pay'!D5</f>
        <v>2500</v>
      </c>
      <c r="D3" s="1">
        <f t="shared" ref="D3:D11" si="0">C3*12%</f>
        <v>300</v>
      </c>
      <c r="E3" s="1">
        <f t="shared" ref="E3:E11" si="1">(C3+D3)*50%</f>
        <v>1400</v>
      </c>
      <c r="F3" s="1">
        <f t="shared" ref="F3:F11" si="2">C3+D3+E3</f>
        <v>4200</v>
      </c>
    </row>
    <row r="4" spans="1:6" x14ac:dyDescent="0.25">
      <c r="A4" s="1">
        <f>'Basic Pay'!B6</f>
        <v>5098</v>
      </c>
      <c r="B4" s="1" t="str">
        <f>'Basic Pay'!C6</f>
        <v>Peter</v>
      </c>
      <c r="C4" s="1">
        <f>'Basic Pay'!D6</f>
        <v>4500</v>
      </c>
      <c r="D4" s="1">
        <f t="shared" si="0"/>
        <v>540</v>
      </c>
      <c r="E4" s="1">
        <f t="shared" si="1"/>
        <v>2520</v>
      </c>
      <c r="F4" s="1">
        <f t="shared" si="2"/>
        <v>7560</v>
      </c>
    </row>
    <row r="5" spans="1:6" x14ac:dyDescent="0.25">
      <c r="A5" s="1">
        <f>'Basic Pay'!B7</f>
        <v>5689</v>
      </c>
      <c r="B5" s="1" t="str">
        <f>'Basic Pay'!C7</f>
        <v>Bobby</v>
      </c>
      <c r="C5" s="1">
        <f>'Basic Pay'!D7</f>
        <v>3200</v>
      </c>
      <c r="D5" s="1">
        <f t="shared" si="0"/>
        <v>384</v>
      </c>
      <c r="E5" s="1">
        <f t="shared" si="1"/>
        <v>1792</v>
      </c>
      <c r="F5" s="1">
        <f t="shared" si="2"/>
        <v>5376</v>
      </c>
    </row>
    <row r="6" spans="1:6" x14ac:dyDescent="0.25">
      <c r="A6" s="1">
        <f>'Basic Pay'!B8</f>
        <v>5764</v>
      </c>
      <c r="B6" s="1" t="str">
        <f>'Basic Pay'!C8</f>
        <v>John</v>
      </c>
      <c r="C6" s="1">
        <f>'Basic Pay'!D8</f>
        <v>1223</v>
      </c>
      <c r="D6" s="1">
        <f t="shared" si="0"/>
        <v>146.76</v>
      </c>
      <c r="E6" s="1">
        <f t="shared" si="1"/>
        <v>684.88</v>
      </c>
      <c r="F6" s="1">
        <f t="shared" si="2"/>
        <v>2054.64</v>
      </c>
    </row>
    <row r="7" spans="1:6" x14ac:dyDescent="0.25">
      <c r="A7" s="1">
        <f>'Basic Pay'!B9</f>
        <v>5091</v>
      </c>
      <c r="B7" s="1" t="str">
        <f>'Basic Pay'!C9</f>
        <v>Rita</v>
      </c>
      <c r="C7" s="1">
        <f>'Basic Pay'!D9</f>
        <v>7890</v>
      </c>
      <c r="D7" s="1">
        <f t="shared" si="0"/>
        <v>946.8</v>
      </c>
      <c r="E7" s="1">
        <f t="shared" si="1"/>
        <v>4418.3999999999996</v>
      </c>
      <c r="F7" s="1">
        <f t="shared" si="2"/>
        <v>13255.199999999999</v>
      </c>
    </row>
    <row r="8" spans="1:6" x14ac:dyDescent="0.25">
      <c r="A8" s="1">
        <f>'Basic Pay'!B10</f>
        <v>5673</v>
      </c>
      <c r="B8" s="1" t="str">
        <f>'Basic Pay'!C10</f>
        <v>Rozy</v>
      </c>
      <c r="C8" s="1">
        <f>'Basic Pay'!D10</f>
        <v>6500</v>
      </c>
      <c r="D8" s="1">
        <f t="shared" si="0"/>
        <v>780</v>
      </c>
      <c r="E8" s="1">
        <f t="shared" si="1"/>
        <v>3640</v>
      </c>
      <c r="F8" s="1">
        <f t="shared" si="2"/>
        <v>10920</v>
      </c>
    </row>
    <row r="9" spans="1:6" x14ac:dyDescent="0.25">
      <c r="A9" s="1">
        <f>'Basic Pay'!B11</f>
        <v>5901</v>
      </c>
      <c r="B9" s="1" t="str">
        <f>'Basic Pay'!C11</f>
        <v>Rozita</v>
      </c>
      <c r="C9" s="1">
        <f>'Basic Pay'!D11</f>
        <v>5479</v>
      </c>
      <c r="D9" s="1">
        <f t="shared" si="0"/>
        <v>657.48</v>
      </c>
      <c r="E9" s="1">
        <f t="shared" si="1"/>
        <v>3068.24</v>
      </c>
      <c r="F9" s="1">
        <f t="shared" si="2"/>
        <v>9204.7199999999993</v>
      </c>
    </row>
    <row r="10" spans="1:6" x14ac:dyDescent="0.25">
      <c r="A10" s="1">
        <f>'Basic Pay'!B12</f>
        <v>5764</v>
      </c>
      <c r="B10" s="1" t="str">
        <f>'Basic Pay'!C12</f>
        <v>Andre</v>
      </c>
      <c r="C10" s="1">
        <f>'Basic Pay'!D12</f>
        <v>3456</v>
      </c>
      <c r="D10" s="1">
        <f t="shared" si="0"/>
        <v>414.71999999999997</v>
      </c>
      <c r="E10" s="1">
        <f t="shared" si="1"/>
        <v>1935.36</v>
      </c>
      <c r="F10" s="1">
        <f>C10+D10+E10</f>
        <v>5806.08</v>
      </c>
    </row>
    <row r="11" spans="1:6" x14ac:dyDescent="0.25">
      <c r="A11" s="1">
        <f>'Basic Pay'!B13</f>
        <v>5555</v>
      </c>
      <c r="B11" s="1" t="str">
        <f>'Basic Pay'!C13</f>
        <v>Rocher</v>
      </c>
      <c r="C11" s="1">
        <f>'Basic Pay'!D13</f>
        <v>1200</v>
      </c>
      <c r="D11" s="1">
        <f t="shared" si="0"/>
        <v>144</v>
      </c>
      <c r="E11" s="1">
        <f t="shared" si="1"/>
        <v>672</v>
      </c>
      <c r="F11" s="1">
        <f>C11+D11+E11</f>
        <v>2016</v>
      </c>
    </row>
    <row r="12" spans="1:6" x14ac:dyDescent="0.25">
      <c r="E1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Gross Salary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SANDHYA GAVALE</cp:lastModifiedBy>
  <dcterms:created xsi:type="dcterms:W3CDTF">2007-12-11T14:17:32Z</dcterms:created>
  <dcterms:modified xsi:type="dcterms:W3CDTF">2026-09-27T16:43:56Z</dcterms:modified>
</cp:coreProperties>
</file>